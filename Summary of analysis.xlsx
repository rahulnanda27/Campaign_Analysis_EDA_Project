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l\DSI\Projects\Campaign Analysis_EDA Project\"/>
    </mc:Choice>
  </mc:AlternateContent>
  <xr:revisionPtr revIDLastSave="0" documentId="13_ncr:2001_{6D2826C8-D8D4-4103-986B-115C633394C7}" xr6:coauthVersionLast="47" xr6:coauthVersionMax="47" xr10:uidLastSave="{00000000-0000-0000-0000-000000000000}"/>
  <bookViews>
    <workbookView xWindow="-110" yWindow="-110" windowWidth="19420" windowHeight="10300" activeTab="1" xr2:uid="{820AAACD-DD2E-4728-B76A-8DA90CFDE214}"/>
  </bookViews>
  <sheets>
    <sheet name="YoY Net_revenue" sheetId="3" r:id="rId1"/>
    <sheet name="Top_campaigns" sheetId="2" r:id="rId2"/>
    <sheet name="Conversion_funnel" sheetId="1" r:id="rId3"/>
  </sheets>
  <definedNames>
    <definedName name="_xlnm._FilterDatabase" localSheetId="1" hidden="1">Top_campaigns!$A$1:$H$11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3" i="3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<sst xmlns="http://schemas.openxmlformats.org/spreadsheetml/2006/main" count="43" uniqueCount="41">
  <si>
    <t>Full</t>
  </si>
  <si>
    <t>views</t>
  </si>
  <si>
    <t>purchase</t>
  </si>
  <si>
    <t>click</t>
  </si>
  <si>
    <t>add_to_cart</t>
  </si>
  <si>
    <t>Direct</t>
  </si>
  <si>
    <t>conversion (views to purchase)</t>
  </si>
  <si>
    <t>Email</t>
  </si>
  <si>
    <t>Organic</t>
  </si>
  <si>
    <t>Paid Search</t>
  </si>
  <si>
    <t>Social</t>
  </si>
  <si>
    <t>funnel stage</t>
  </si>
  <si>
    <t>campaign_id</t>
  </si>
  <si>
    <t>campaign_period</t>
  </si>
  <si>
    <t>net_revenue</t>
  </si>
  <si>
    <t>daily_net_revenue</t>
  </si>
  <si>
    <t>82 days</t>
  </si>
  <si>
    <t>59 days</t>
  </si>
  <si>
    <t>62 days</t>
  </si>
  <si>
    <t>76 days</t>
  </si>
  <si>
    <t>39 days</t>
  </si>
  <si>
    <t>year</t>
  </si>
  <si>
    <t>change</t>
  </si>
  <si>
    <t>start_date</t>
  </si>
  <si>
    <t>end_date</t>
  </si>
  <si>
    <t>expected_uplift</t>
  </si>
  <si>
    <t>campaign_name</t>
  </si>
  <si>
    <t>Social - Acquisition - New Customers</t>
  </si>
  <si>
    <t>Affiliate - Retention - All</t>
  </si>
  <si>
    <t>Email - Acquisition - New Customers</t>
  </si>
  <si>
    <t>Affiliate - Reactivation - All</t>
  </si>
  <si>
    <t>Paid Search - Cross-sell - High Value</t>
  </si>
  <si>
    <t>Display - Retention - High Value</t>
  </si>
  <si>
    <t>19 days</t>
  </si>
  <si>
    <t>Paid Search - Reactivation - Deal Seekers</t>
  </si>
  <si>
    <t>45 days</t>
  </si>
  <si>
    <t>23 days</t>
  </si>
  <si>
    <t>Email - Reactivation - All</t>
  </si>
  <si>
    <t>66 days</t>
  </si>
  <si>
    <t>Paid Search - Cross-sell - Churn Risk</t>
  </si>
  <si>
    <t>38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</si>
</sst>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2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3" fontId="0" fillId="0" borderId="0" xfId="0" applyNumberFormat="1"/>
    <xf numFmtId="14" fontId="0" fillId="2" borderId="1" xfId="0" applyNumberForma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8956-8C81-4174-8F49-FD0D48B2FE85}">
  <dimension ref="A1:E5"/>
  <sheetViews>
    <sheetView workbookViewId="0">
      <selection activeCell="I8" sqref="I8"/>
    </sheetView>
  </sheetViews>
  <sheetFormatPr defaultRowHeight="14.5" x14ac:dyDescent="0.35"/>
  <cols>
    <col min="1" max="1" width="11.36328125" bestFit="1" customWidth="1"/>
    <col min="2" max="2" width="12.1796875" bestFit="1" customWidth="1"/>
  </cols>
  <sheetData>
    <row r="1" spans="1:5" x14ac:dyDescent="0.35">
      <c r="A1" s="1" t="s">
        <v>21</v>
      </c>
      <c r="B1" s="1" t="s">
        <v>14</v>
      </c>
      <c r="C1" s="1" t="s">
        <v>22</v>
      </c>
    </row>
    <row r="2" spans="1:5" x14ac:dyDescent="0.35">
      <c r="A2" s="1">
        <v>2021</v>
      </c>
      <c r="B2" s="3">
        <v>2897530.01</v>
      </c>
      <c r="C2" s="1"/>
    </row>
    <row r="3" spans="1:5" x14ac:dyDescent="0.35">
      <c r="A3" s="1">
        <v>2022</v>
      </c>
      <c r="B3" s="3">
        <v>2875517.42</v>
      </c>
      <c r="C3" s="2">
        <f>B3/B2-1</f>
        <v>-7.5970188139655725E-3</v>
      </c>
    </row>
    <row r="4" spans="1:5" x14ac:dyDescent="0.35">
      <c r="A4" s="1">
        <v>2023</v>
      </c>
      <c r="B4" s="3">
        <v>2853508.43</v>
      </c>
      <c r="C4" s="2">
        <f>B4/B3-1</f>
        <v>-7.6539233763360803E-3</v>
      </c>
    </row>
    <row r="5" spans="1:5" x14ac:dyDescent="0.35">
      <c r="E5" s="6"/>
    </row>
  </sheetData>
  <conditionalFormatting sqref="C3: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{07168E38-4C00-41C4-BBB9-708E70ECE9E3}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168E38-4C00-41C4-BBB9-708E70ECE9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C3:C4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FD6C-1379-4A40-AC88-282A3B37C68D}">
  <dimension ref="A1:H11"/>
  <sheetViews>
    <sheetView tabSelected="1" workbookViewId="0"/>
  </sheetViews>
  <sheetFormatPr defaultRowHeight="14.5" x14ac:dyDescent="0.35"/>
  <cols>
    <col min="1" max="1" width="10.36328125" bestFit="1" customWidth="1"/>
    <col min="2" max="2" width="34.7265625" bestFit="1" customWidth="1"/>
    <col min="3" max="4" width="10.08984375" bestFit="1" customWidth="1"/>
    <col min="5" max="5" width="13.81640625" bestFit="1" customWidth="1"/>
    <col min="6" max="6" width="15.36328125" bestFit="1" customWidth="1"/>
    <col min="7" max="7" width="11.36328125" bestFit="1" customWidth="1"/>
    <col min="8" max="8" width="16.36328125" bestFit="1" customWidth="1"/>
    <col min="9" max="9" width="34.7265625" bestFit="1" customWidth="1"/>
  </cols>
  <sheetData>
    <row r="1" spans="1:8" x14ac:dyDescent="0.35">
      <c r="A1" s="4" t="s">
        <v>12</v>
      </c>
      <c r="B1" s="4" t="s">
        <v>26</v>
      </c>
      <c r="C1" s="4" t="s">
        <v>23</v>
      </c>
      <c r="D1" s="4" t="s">
        <v>24</v>
      </c>
      <c r="E1" s="4" t="s">
        <v>25</v>
      </c>
      <c r="F1" s="4" t="s">
        <v>13</v>
      </c>
      <c r="G1" s="4" t="s">
        <v>14</v>
      </c>
      <c r="H1" s="4" t="s">
        <v>15</v>
      </c>
    </row>
    <row r="2" spans="1:8" x14ac:dyDescent="0.35">
      <c r="A2" s="4">
        <v>5</v>
      </c>
      <c r="B2" s="4" t="s">
        <v>27</v>
      </c>
      <c r="C2" s="5">
        <v>44751</v>
      </c>
      <c r="D2" s="5">
        <v>44833</v>
      </c>
      <c r="E2" s="4">
        <v>0.14399999999999999</v>
      </c>
      <c r="F2" s="4" t="s">
        <v>16</v>
      </c>
      <c r="G2" s="4">
        <v>191588.2</v>
      </c>
      <c r="H2" s="4">
        <v>2336.44</v>
      </c>
    </row>
    <row r="3" spans="1:8" x14ac:dyDescent="0.35">
      <c r="A3" s="4">
        <v>18</v>
      </c>
      <c r="B3" s="4" t="s">
        <v>28</v>
      </c>
      <c r="C3" s="5">
        <v>44843</v>
      </c>
      <c r="D3" s="5">
        <v>44902</v>
      </c>
      <c r="E3" s="4">
        <v>0.13900000000000001</v>
      </c>
      <c r="F3" s="4" t="s">
        <v>17</v>
      </c>
      <c r="G3" s="4">
        <v>191126.03</v>
      </c>
      <c r="H3" s="4">
        <v>3239.42</v>
      </c>
    </row>
    <row r="4" spans="1:8" x14ac:dyDescent="0.35">
      <c r="A4" s="4">
        <v>29</v>
      </c>
      <c r="B4" s="4" t="s">
        <v>29</v>
      </c>
      <c r="C4" s="5">
        <v>44556</v>
      </c>
      <c r="D4" s="5">
        <v>44618</v>
      </c>
      <c r="E4" s="4">
        <v>0.14000000000000001</v>
      </c>
      <c r="F4" s="4" t="s">
        <v>18</v>
      </c>
      <c r="G4" s="4">
        <v>186213.14</v>
      </c>
      <c r="H4" s="4">
        <v>3003.44</v>
      </c>
    </row>
    <row r="5" spans="1:8" x14ac:dyDescent="0.35">
      <c r="A5" s="4">
        <v>44</v>
      </c>
      <c r="B5" s="4" t="s">
        <v>30</v>
      </c>
      <c r="C5" s="5">
        <v>44227</v>
      </c>
      <c r="D5" s="5">
        <v>44303</v>
      </c>
      <c r="E5" s="4">
        <v>0.14099999999999999</v>
      </c>
      <c r="F5" s="4" t="s">
        <v>19</v>
      </c>
      <c r="G5" s="4">
        <v>183494.01</v>
      </c>
      <c r="H5" s="4">
        <v>2414.39</v>
      </c>
    </row>
    <row r="6" spans="1:8" x14ac:dyDescent="0.35">
      <c r="A6" s="4">
        <v>7</v>
      </c>
      <c r="B6" s="4" t="s">
        <v>31</v>
      </c>
      <c r="C6" s="7">
        <v>45109</v>
      </c>
      <c r="D6" s="7">
        <v>45148</v>
      </c>
      <c r="E6" s="4">
        <v>0.13600000000000001</v>
      </c>
      <c r="F6" s="4" t="s">
        <v>20</v>
      </c>
      <c r="G6" s="4">
        <v>176805.78</v>
      </c>
      <c r="H6" s="4">
        <v>4533.4799999999996</v>
      </c>
    </row>
    <row r="7" spans="1:8" x14ac:dyDescent="0.35">
      <c r="A7" s="4">
        <v>17</v>
      </c>
      <c r="B7" s="4" t="s">
        <v>32</v>
      </c>
      <c r="C7" s="7">
        <v>45021</v>
      </c>
      <c r="D7" s="7">
        <v>45040</v>
      </c>
      <c r="E7" s="4">
        <v>0.14000000000000001</v>
      </c>
      <c r="F7" s="4" t="s">
        <v>33</v>
      </c>
      <c r="G7" s="4">
        <v>174963.62</v>
      </c>
      <c r="H7" s="4">
        <v>9208.61</v>
      </c>
    </row>
    <row r="8" spans="1:8" x14ac:dyDescent="0.35">
      <c r="A8" s="4">
        <v>49</v>
      </c>
      <c r="B8" s="4" t="s">
        <v>34</v>
      </c>
      <c r="C8" s="5">
        <v>44295</v>
      </c>
      <c r="D8" s="5">
        <v>44340</v>
      </c>
      <c r="E8" s="4">
        <v>0.128</v>
      </c>
      <c r="F8" s="4" t="s">
        <v>35</v>
      </c>
      <c r="G8" s="4">
        <v>174065.33</v>
      </c>
      <c r="H8" s="4">
        <v>3868.12</v>
      </c>
    </row>
    <row r="9" spans="1:8" x14ac:dyDescent="0.35">
      <c r="A9" s="4">
        <v>25</v>
      </c>
      <c r="B9" s="4" t="s">
        <v>31</v>
      </c>
      <c r="C9" s="5">
        <v>44274</v>
      </c>
      <c r="D9" s="5">
        <v>44297</v>
      </c>
      <c r="E9" s="4">
        <v>0.11899999999999999</v>
      </c>
      <c r="F9" s="4" t="s">
        <v>36</v>
      </c>
      <c r="G9" s="4">
        <v>173094.13</v>
      </c>
      <c r="H9" s="4">
        <v>7525.83</v>
      </c>
    </row>
    <row r="10" spans="1:8" x14ac:dyDescent="0.35">
      <c r="A10" s="4">
        <v>16</v>
      </c>
      <c r="B10" s="4" t="s">
        <v>37</v>
      </c>
      <c r="C10" s="7">
        <v>45148</v>
      </c>
      <c r="D10" s="7">
        <v>45214</v>
      </c>
      <c r="E10" s="4">
        <v>0.11799999999999999</v>
      </c>
      <c r="F10" s="4" t="s">
        <v>38</v>
      </c>
      <c r="G10" s="4">
        <v>170037.17</v>
      </c>
      <c r="H10" s="4">
        <v>2576.3200000000002</v>
      </c>
    </row>
    <row r="11" spans="1:8" x14ac:dyDescent="0.35">
      <c r="A11" s="4">
        <v>8</v>
      </c>
      <c r="B11" s="4" t="s">
        <v>39</v>
      </c>
      <c r="C11" s="5">
        <v>44431</v>
      </c>
      <c r="D11" s="5">
        <v>44469</v>
      </c>
      <c r="E11" s="4">
        <v>0.128</v>
      </c>
      <c r="F11" s="4" t="s">
        <v>40</v>
      </c>
      <c r="G11" s="4">
        <v>165609.29</v>
      </c>
      <c r="H11" s="4">
        <v>4358.1400000000003</v>
      </c>
    </row>
  </sheetData>
  <conditionalFormatting sqref="G2:G11">
    <cfRule type="colorScale" priority="2">
      <colorScale>
        <cfvo type="min"/>
        <cfvo type="max"/>
        <color rgb="FFFCFCFF"/>
        <color rgb="FF63BE7B"/>
      </colorScale>
    </cfRule>
  </conditionalFormatting>
  <conditionalFormatting sqref="H2:H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BF26-0F52-4B03-86E0-05896E970FB1}">
  <dimension ref="A1:G6"/>
  <sheetViews>
    <sheetView workbookViewId="0"/>
  </sheetViews>
  <sheetFormatPr defaultRowHeight="14.5" x14ac:dyDescent="0.35"/>
  <cols>
    <col min="1" max="1" width="26.90625" bestFit="1" customWidth="1"/>
    <col min="6" max="6" width="10.36328125" bestFit="1" customWidth="1"/>
  </cols>
  <sheetData>
    <row r="1" spans="1:7" x14ac:dyDescent="0.35">
      <c r="A1" t="s">
        <v>11</v>
      </c>
      <c r="B1" s="1" t="s">
        <v>0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35">
      <c r="A2" t="s">
        <v>1</v>
      </c>
      <c r="B2" s="1">
        <v>1043573</v>
      </c>
      <c r="C2" s="1">
        <v>107740</v>
      </c>
      <c r="D2" s="1">
        <v>150240</v>
      </c>
      <c r="E2" s="1">
        <v>430833</v>
      </c>
      <c r="F2" s="1">
        <v>201321</v>
      </c>
      <c r="G2" s="1">
        <v>153439</v>
      </c>
    </row>
    <row r="3" spans="1:7" x14ac:dyDescent="0.35">
      <c r="A3" t="s">
        <v>3</v>
      </c>
      <c r="B3" s="1">
        <v>379008</v>
      </c>
      <c r="C3" s="1">
        <v>38987</v>
      </c>
      <c r="D3" s="1">
        <v>54591</v>
      </c>
      <c r="E3" s="1">
        <v>156328</v>
      </c>
      <c r="F3" s="1">
        <v>73653</v>
      </c>
      <c r="G3" s="1">
        <v>55449</v>
      </c>
    </row>
    <row r="4" spans="1:7" x14ac:dyDescent="0.35">
      <c r="A4" t="s">
        <v>4</v>
      </c>
      <c r="B4" s="1">
        <v>28437</v>
      </c>
      <c r="C4" s="1">
        <v>29368</v>
      </c>
      <c r="D4" s="1">
        <v>40922</v>
      </c>
      <c r="E4" s="1">
        <v>117858</v>
      </c>
      <c r="F4" s="1">
        <v>54516</v>
      </c>
      <c r="G4" s="1">
        <v>41706</v>
      </c>
    </row>
    <row r="5" spans="1:7" x14ac:dyDescent="0.35">
      <c r="A5" t="s">
        <v>2</v>
      </c>
      <c r="B5" s="1">
        <v>103127</v>
      </c>
      <c r="C5" s="1">
        <v>4200</v>
      </c>
      <c r="D5" s="1">
        <v>26636</v>
      </c>
      <c r="E5" s="1">
        <v>16755</v>
      </c>
      <c r="F5" s="1">
        <v>33633</v>
      </c>
      <c r="G5" s="1">
        <v>21903</v>
      </c>
    </row>
    <row r="6" spans="1:7" x14ac:dyDescent="0.35">
      <c r="A6" t="s">
        <v>6</v>
      </c>
      <c r="B6" s="2">
        <f t="shared" ref="B6:G6" si="0">B5/B2</f>
        <v>9.8821069537061615E-2</v>
      </c>
      <c r="C6" s="2">
        <f t="shared" si="0"/>
        <v>3.8982736216818269E-2</v>
      </c>
      <c r="D6" s="2">
        <f t="shared" si="0"/>
        <v>0.17728966986155484</v>
      </c>
      <c r="E6" s="2">
        <f t="shared" si="0"/>
        <v>3.8889778638126607E-2</v>
      </c>
      <c r="F6" s="2">
        <f t="shared" si="0"/>
        <v>0.1670615584067236</v>
      </c>
      <c r="G6" s="2">
        <f t="shared" si="0"/>
        <v>0.14274728067831516</v>
      </c>
    </row>
  </sheetData>
  <conditionalFormatting sqref="B6:G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YoY Net_revenue</vt:lpstr>
      <vt:lpstr>Top_campaigns</vt:lpstr>
      <vt:lpstr>Conversion_funnel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 Kakkar</dc:creator>
  <cp:lastModifiedBy>Minal Kakkar</cp:lastModifiedBy>
  <dcterms:created xsi:type="dcterms:W3CDTF">2025-12-22T04:01:13Z</dcterms:created>
  <dcterms:modified xsi:type="dcterms:W3CDTF">2025-12-29T07:29:51Z</dcterms:modified>
</cp:coreProperties>
</file>